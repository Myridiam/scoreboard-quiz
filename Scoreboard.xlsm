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src\ARKE\BCHeffen\Quiz\"/>
    </mc:Choice>
  </mc:AlternateContent>
  <xr:revisionPtr revIDLastSave="0" documentId="13_ncr:1_{2F26CC72-3728-4F42-939C-DEAECA61C67C}" xr6:coauthVersionLast="43" xr6:coauthVersionMax="43" xr10:uidLastSave="{00000000-0000-0000-0000-000000000000}"/>
  <bookViews>
    <workbookView xWindow="-120" yWindow="-120" windowWidth="29040" windowHeight="15840" activeTab="3" xr2:uid="{00000000-000D-0000-FFFF-FFFF00000000}"/>
  </bookViews>
  <sheets>
    <sheet name="Teams" sheetId="1" r:id="rId1"/>
    <sheet name="Score" sheetId="2" r:id="rId2"/>
    <sheet name="Acties" sheetId="4" r:id="rId3"/>
    <sheet name="Puntenstand" sheetId="3" r:id="rId4"/>
    <sheet name="Vorige Puntenstand" sheetId="5" r:id="rId5"/>
  </sheets>
  <functionGroups builtInGroupCount="19"/>
  <definedNames>
    <definedName name="TEams">Teams!$A$2:$A$34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2" i="2" l="1"/>
  <c r="O23" i="2"/>
  <c r="O24" i="2"/>
  <c r="O25" i="2"/>
  <c r="O26" i="2"/>
  <c r="O27" i="2"/>
  <c r="O21" i="2" l="1"/>
  <c r="A26" i="2"/>
  <c r="A27" i="2"/>
  <c r="A23" i="2"/>
  <c r="A24" i="2"/>
  <c r="A25" i="2"/>
  <c r="A22" i="2" l="1"/>
  <c r="A21" i="2" l="1"/>
  <c r="A19" i="2"/>
  <c r="O19" i="2"/>
  <c r="A20" i="2"/>
  <c r="O20" i="2"/>
  <c r="O3" i="2" l="1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2" i="2"/>
</calcChain>
</file>

<file path=xl/sharedStrings.xml><?xml version="1.0" encoding="utf-8"?>
<sst xmlns="http://schemas.openxmlformats.org/spreadsheetml/2006/main" count="195" uniqueCount="87">
  <si>
    <t>Name</t>
  </si>
  <si>
    <t>Team</t>
  </si>
  <si>
    <t>Ronde</t>
  </si>
  <si>
    <t>Ronde 1</t>
  </si>
  <si>
    <t>Themaronde 1</t>
  </si>
  <si>
    <t>Ronde 2</t>
  </si>
  <si>
    <t>Themaronde 2</t>
  </si>
  <si>
    <t>Puzzelronde</t>
  </si>
  <si>
    <t>Ronde 3</t>
  </si>
  <si>
    <t>Themaronde 3</t>
  </si>
  <si>
    <t>Ronde 4</t>
  </si>
  <si>
    <t>Themaronde 4</t>
  </si>
  <si>
    <t>Ronde 5</t>
  </si>
  <si>
    <t>Themaronde 5</t>
  </si>
  <si>
    <t>Superronde</t>
  </si>
  <si>
    <t>Totaal</t>
  </si>
  <si>
    <t>Joker</t>
  </si>
  <si>
    <t>Resultaat t.e.m. Ronde:</t>
  </si>
  <si>
    <t>Create Report Scoreboard</t>
  </si>
  <si>
    <t>Laatst afgewerkte ronde:</t>
  </si>
  <si>
    <t>Direction</t>
  </si>
  <si>
    <t>▲</t>
  </si>
  <si>
    <t>Legende</t>
  </si>
  <si>
    <t>▼</t>
  </si>
  <si>
    <t>▬</t>
  </si>
  <si>
    <t>Positie</t>
  </si>
  <si>
    <t>c</t>
  </si>
  <si>
    <t>j</t>
  </si>
  <si>
    <t>h</t>
  </si>
  <si>
    <t>m</t>
  </si>
  <si>
    <t>e</t>
  </si>
  <si>
    <t>Schifting</t>
  </si>
  <si>
    <t>Antwoord schiftingsvraag:</t>
  </si>
  <si>
    <t>M</t>
  </si>
  <si>
    <t>01- T1</t>
  </si>
  <si>
    <t>02- T2</t>
  </si>
  <si>
    <t>03- T3</t>
  </si>
  <si>
    <t>04- T4</t>
  </si>
  <si>
    <t>05- T5</t>
  </si>
  <si>
    <t>06- T6</t>
  </si>
  <si>
    <t>07- T7</t>
  </si>
  <si>
    <t>08- T8</t>
  </si>
  <si>
    <t>09- T9</t>
  </si>
  <si>
    <t>10- T10</t>
  </si>
  <si>
    <t>11- T11</t>
  </si>
  <si>
    <t>12- T12</t>
  </si>
  <si>
    <t>13- T13</t>
  </si>
  <si>
    <t>14- T14</t>
  </si>
  <si>
    <t>15- T15</t>
  </si>
  <si>
    <t>16- T16</t>
  </si>
  <si>
    <t>17- T17</t>
  </si>
  <si>
    <t>18- T18</t>
  </si>
  <si>
    <t>19- T19</t>
  </si>
  <si>
    <t>20- T20</t>
  </si>
  <si>
    <t>21- T21</t>
  </si>
  <si>
    <t>22- T22</t>
  </si>
  <si>
    <t>23- T23</t>
  </si>
  <si>
    <t>24- T24</t>
  </si>
  <si>
    <t>25- T25</t>
  </si>
  <si>
    <t>99- T26</t>
  </si>
  <si>
    <t>04- T4 (*)</t>
  </si>
  <si>
    <t>08- T8 (*)</t>
  </si>
  <si>
    <t>25- T25 (*)</t>
  </si>
  <si>
    <t>01- T1 (*)</t>
  </si>
  <si>
    <t>20- T20 (*)</t>
  </si>
  <si>
    <t>22- T22 (*)</t>
  </si>
  <si>
    <t>02- T2 (*)</t>
  </si>
  <si>
    <t>21- T21 (*)</t>
  </si>
  <si>
    <t>11- T11 (*)</t>
  </si>
  <si>
    <t>03- T3 (*)</t>
  </si>
  <si>
    <t>15- T15 (*)</t>
  </si>
  <si>
    <t>16- T16 (*)</t>
  </si>
  <si>
    <t>23- T23 (*)</t>
  </si>
  <si>
    <t>14- T14 (*)</t>
  </si>
  <si>
    <t>17- T17 (*)</t>
  </si>
  <si>
    <t>18- T18 (*)</t>
  </si>
  <si>
    <t>12- T12 (*)</t>
  </si>
  <si>
    <t>13- T13 (*)</t>
  </si>
  <si>
    <t>06- T6 (*)</t>
  </si>
  <si>
    <t>05- T5 (*)</t>
  </si>
  <si>
    <t>19- T19 (*)</t>
  </si>
  <si>
    <t>10- T10 (*)</t>
  </si>
  <si>
    <t>07- T7 (*)</t>
  </si>
  <si>
    <t>09- T9 (*)</t>
  </si>
  <si>
    <t>24- T24 (*)</t>
  </si>
  <si>
    <t>99- T26 (*)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</si>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</sst>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00B0F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/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26">
    <xf numFmtId="0" fontId="0" fillId="0" borderId="0" xfId="0"/>
    <xf numFmtId="0" fontId="1" fillId="2" borderId="1" xfId="1"/>
    <xf numFmtId="0" fontId="0" fillId="0" borderId="0" xfId="0" applyAlignment="1">
      <alignment horizontal="center"/>
    </xf>
    <xf numFmtId="49" fontId="0" fillId="0" borderId="0" xfId="0" applyNumberFormat="1"/>
    <xf numFmtId="0" fontId="1" fillId="2" borderId="1" xfId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" fillId="2" borderId="1" xfId="1" applyAlignment="1" applyProtection="1">
      <alignment horizontal="center"/>
    </xf>
    <xf numFmtId="49" fontId="1" fillId="2" borderId="1" xfId="1" applyNumberFormat="1" applyProtection="1"/>
    <xf numFmtId="0" fontId="1" fillId="2" borderId="1" xfId="1" applyAlignment="1">
      <alignment horizontal="center"/>
    </xf>
    <xf numFmtId="0" fontId="3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4" xfId="1" applyBorder="1"/>
    <xf numFmtId="0" fontId="1" fillId="2" borderId="5" xfId="1" applyBorder="1" applyAlignment="1">
      <alignment horizontal="center"/>
    </xf>
    <xf numFmtId="0" fontId="1" fillId="2" borderId="8" xfId="1" applyBorder="1"/>
    <xf numFmtId="0" fontId="1" fillId="2" borderId="1" xfId="1" applyAlignment="1">
      <alignment horizontal="center"/>
    </xf>
    <xf numFmtId="0" fontId="1" fillId="2" borderId="1" xfId="1" applyAlignment="1">
      <alignment horizontal="center"/>
    </xf>
    <xf numFmtId="0" fontId="1" fillId="2" borderId="1" xfId="1" applyAlignment="1">
      <alignment horizontal="left"/>
    </xf>
    <xf numFmtId="0" fontId="1" fillId="2" borderId="6" xfId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7" xfId="1" applyBorder="1" applyAlignment="1">
      <alignment horizontal="left"/>
    </xf>
    <xf numFmtId="0" fontId="1" fillId="2" borderId="6" xfId="1" applyBorder="1" applyAlignment="1">
      <alignment horizontal="left"/>
    </xf>
    <xf numFmtId="0" fontId="1" fillId="2" borderId="0" xfId="1" applyBorder="1" applyAlignment="1">
      <alignment horizontal="left"/>
    </xf>
    <xf numFmtId="0" fontId="1" fillId="2" borderId="3" xfId="1" applyBorder="1" applyAlignment="1">
      <alignment horizontal="left"/>
    </xf>
  </cellXfs>
  <cellStyles count="2">
    <cellStyle name="Berekening" xfId="1" builtinId="22"/>
    <cellStyle name="Standaard" xfId="0" builtinId="0"/>
  </cellStyles>
  <dxfs count="15">
    <dxf>
      <font>
        <color rgb="FF92D050"/>
      </font>
    </dxf>
    <dxf>
      <font>
        <color rgb="FFFF0000"/>
      </font>
    </dxf>
    <dxf>
      <font>
        <color rgb="FF00B0F0"/>
      </font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6DB63"/>
        </patternFill>
      </fill>
    </dxf>
  </dxfs>
  <tableStyles count="0" defaultTableStyle="TableStyleMedium2" defaultPivotStyle="PivotStyleLight16"/>
  <colors>
    <mruColors>
      <color rgb="FF96D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BE"/>
              <a:t>Puntenstand</a:t>
            </a:r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Puntenstand!$B$3:$B$7</c:f>
              <c:strCache>
                <c:ptCount val="5"/>
                <c:pt idx="0">
                  <c:v>25- T25 (*)</c:v>
                </c:pt>
                <c:pt idx="1">
                  <c:v>01- T1 (*)</c:v>
                </c:pt>
                <c:pt idx="2">
                  <c:v>08- T8 (*)</c:v>
                </c:pt>
                <c:pt idx="3">
                  <c:v>04- T4 (*)</c:v>
                </c:pt>
                <c:pt idx="4">
                  <c:v>02- T2 (*)</c:v>
                </c:pt>
              </c:strCache>
            </c:strRef>
          </c:cat>
          <c:val>
            <c:numRef>
              <c:f>Puntenstand!$D$3:$D$7</c:f>
              <c:numCache>
                <c:formatCode>General</c:formatCode>
                <c:ptCount val="5"/>
                <c:pt idx="0">
                  <c:v>97</c:v>
                </c:pt>
                <c:pt idx="1">
                  <c:v>97</c:v>
                </c:pt>
                <c:pt idx="2">
                  <c:v>96</c:v>
                </c:pt>
                <c:pt idx="3">
                  <c:v>95</c:v>
                </c:pt>
                <c:pt idx="4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0-43E7-BD70-CA6E63D7BB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100"/>
        <c:axId val="505262304"/>
        <c:axId val="505253056"/>
      </c:barChart>
      <c:catAx>
        <c:axId val="505262304"/>
        <c:scaling>
          <c:orientation val="minMax"/>
        </c:scaling>
        <c:delete val="0"/>
        <c:axPos val="l"/>
        <c:majorGridlines/>
        <c:numFmt formatCode="General" sourceLinked="0"/>
        <c:majorTickMark val="none"/>
        <c:minorTickMark val="none"/>
        <c:tickLblPos val="nextTo"/>
        <c:crossAx val="505253056"/>
        <c:crosses val="autoZero"/>
        <c:auto val="1"/>
        <c:lblAlgn val="ctr"/>
        <c:lblOffset val="100"/>
        <c:noMultiLvlLbl val="0"/>
      </c:catAx>
      <c:valAx>
        <c:axId val="505253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05262304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Puntenstand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Puntenstand!$D$1:$D$2</c:f>
              <c:strCache>
                <c:ptCount val="2"/>
                <c:pt idx="0">
                  <c:v>Superronde</c:v>
                </c:pt>
                <c:pt idx="1">
                  <c:v>Totaal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Puntenstand!$B$3:$B$7</c:f>
              <c:strCache>
                <c:ptCount val="5"/>
                <c:pt idx="0">
                  <c:v>25- T25 (*)</c:v>
                </c:pt>
                <c:pt idx="1">
                  <c:v>01- T1 (*)</c:v>
                </c:pt>
                <c:pt idx="2">
                  <c:v>08- T8 (*)</c:v>
                </c:pt>
                <c:pt idx="3">
                  <c:v>04- T4 (*)</c:v>
                </c:pt>
                <c:pt idx="4">
                  <c:v>02- T2 (*)</c:v>
                </c:pt>
              </c:strCache>
            </c:strRef>
          </c:cat>
          <c:val>
            <c:numRef>
              <c:f>Puntenstand!$D$3:$D$7</c:f>
              <c:numCache>
                <c:formatCode>General</c:formatCode>
                <c:ptCount val="5"/>
                <c:pt idx="0">
                  <c:v>97</c:v>
                </c:pt>
                <c:pt idx="1">
                  <c:v>97</c:v>
                </c:pt>
                <c:pt idx="2">
                  <c:v>96</c:v>
                </c:pt>
                <c:pt idx="3">
                  <c:v>95</c:v>
                </c:pt>
                <c:pt idx="4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89-4A38-B16B-73DDA43B640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box"/>
        <c:axId val="505253600"/>
        <c:axId val="505259584"/>
        <c:axId val="0"/>
      </c:bar3DChart>
      <c:catAx>
        <c:axId val="5052536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505259584"/>
        <c:crosses val="autoZero"/>
        <c:auto val="1"/>
        <c:lblAlgn val="ctr"/>
        <c:lblOffset val="100"/>
        <c:noMultiLvlLbl val="0"/>
      </c:catAx>
      <c:valAx>
        <c:axId val="505259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2536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47625</xdr:rowOff>
        </xdr:from>
        <xdr:to>
          <xdr:col>2</xdr:col>
          <xdr:colOff>571500</xdr:colOff>
          <xdr:row>6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390525</xdr:colOff>
      <xdr:row>3</xdr:row>
      <xdr:rowOff>166687</xdr:rowOff>
    </xdr:from>
    <xdr:to>
      <xdr:col>9</xdr:col>
      <xdr:colOff>76200</xdr:colOff>
      <xdr:row>18</xdr:row>
      <xdr:rowOff>52387</xdr:rowOff>
    </xdr:to>
    <xdr:graphicFrame macro="">
      <xdr:nvGraphicFramePr>
        <xdr:cNvPr id="13" name="Grafiek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400050</xdr:colOff>
      <xdr:row>20</xdr:row>
      <xdr:rowOff>80962</xdr:rowOff>
    </xdr:from>
    <xdr:to>
      <xdr:col>9</xdr:col>
      <xdr:colOff>85725</xdr:colOff>
      <xdr:row>34</xdr:row>
      <xdr:rowOff>157162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7"/>
  <sheetViews>
    <sheetView topLeftCell="A2" workbookViewId="0">
      <selection activeCell="A28" sqref="A28"/>
    </sheetView>
  </sheetViews>
  <sheetFormatPr defaultRowHeight="15" x14ac:dyDescent="0.25"/>
  <cols>
    <col min="1" max="1" width="45.7109375" customWidth="1"/>
  </cols>
  <sheetData>
    <row r="1" spans="1:1" x14ac:dyDescent="0.25">
      <c r="A1" s="1" t="s">
        <v>0</v>
      </c>
    </row>
    <row r="2" spans="1:1" x14ac:dyDescent="0.25">
      <c r="A2" t="s">
        <v>34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37</v>
      </c>
    </row>
    <row r="6" spans="1:1" x14ac:dyDescent="0.25">
      <c r="A6" t="s">
        <v>38</v>
      </c>
    </row>
    <row r="7" spans="1:1" x14ac:dyDescent="0.25">
      <c r="A7" t="s">
        <v>39</v>
      </c>
    </row>
    <row r="8" spans="1:1" x14ac:dyDescent="0.25">
      <c r="A8" t="s">
        <v>40</v>
      </c>
    </row>
    <row r="9" spans="1:1" x14ac:dyDescent="0.25">
      <c r="A9" t="s">
        <v>41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45</v>
      </c>
    </row>
    <row r="14" spans="1:1" x14ac:dyDescent="0.25">
      <c r="A14" t="s">
        <v>46</v>
      </c>
    </row>
    <row r="15" spans="1:1" x14ac:dyDescent="0.25">
      <c r="A15" t="s">
        <v>47</v>
      </c>
    </row>
    <row r="16" spans="1:1" x14ac:dyDescent="0.25">
      <c r="A16" t="s">
        <v>48</v>
      </c>
    </row>
    <row r="17" spans="1:1" x14ac:dyDescent="0.25">
      <c r="A17" t="s">
        <v>49</v>
      </c>
    </row>
    <row r="18" spans="1:1" x14ac:dyDescent="0.25">
      <c r="A18" t="s">
        <v>50</v>
      </c>
    </row>
    <row r="19" spans="1:1" x14ac:dyDescent="0.25">
      <c r="A19" t="s">
        <v>51</v>
      </c>
    </row>
    <row r="20" spans="1:1" x14ac:dyDescent="0.25">
      <c r="A20" t="s">
        <v>52</v>
      </c>
    </row>
    <row r="21" spans="1:1" x14ac:dyDescent="0.25">
      <c r="A21" t="s">
        <v>53</v>
      </c>
    </row>
    <row r="22" spans="1:1" x14ac:dyDescent="0.25">
      <c r="A22" t="s">
        <v>54</v>
      </c>
    </row>
    <row r="23" spans="1:1" x14ac:dyDescent="0.25">
      <c r="A23" t="s">
        <v>55</v>
      </c>
    </row>
    <row r="24" spans="1:1" x14ac:dyDescent="0.25">
      <c r="A24" t="s">
        <v>56</v>
      </c>
    </row>
    <row r="25" spans="1:1" x14ac:dyDescent="0.25">
      <c r="A25" t="s">
        <v>57</v>
      </c>
    </row>
    <row r="26" spans="1:1" x14ac:dyDescent="0.25">
      <c r="A26" t="s">
        <v>58</v>
      </c>
    </row>
    <row r="27" spans="1:1" x14ac:dyDescent="0.25">
      <c r="A27" t="s">
        <v>59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28"/>
  <sheetViews>
    <sheetView workbookViewId="0">
      <selection activeCell="A5" sqref="A5"/>
    </sheetView>
  </sheetViews>
  <sheetFormatPr defaultRowHeight="15" x14ac:dyDescent="0.25"/>
  <cols>
    <col min="1" max="1" width="41.7109375" style="3" customWidth="1"/>
    <col min="2" max="2" width="8.140625" style="2" bestFit="1" customWidth="1"/>
    <col min="3" max="3" width="13.85546875" style="2" bestFit="1" customWidth="1"/>
    <col min="4" max="4" width="8.140625" style="2" bestFit="1" customWidth="1"/>
    <col min="5" max="5" width="13.7109375" style="2" customWidth="1"/>
    <col min="6" max="6" width="12" style="2" bestFit="1" customWidth="1"/>
    <col min="7" max="7" width="8.140625" style="2" bestFit="1" customWidth="1"/>
    <col min="8" max="8" width="13.7109375" style="2" customWidth="1"/>
    <col min="9" max="9" width="8.140625" style="2" bestFit="1" customWidth="1"/>
    <col min="10" max="10" width="13.7109375" style="2" customWidth="1"/>
    <col min="11" max="11" width="12" style="2" bestFit="1" customWidth="1"/>
    <col min="12" max="12" width="8.140625" style="2" bestFit="1" customWidth="1"/>
    <col min="13" max="13" width="13.7109375" style="2" customWidth="1"/>
    <col min="14" max="14" width="11.42578125" style="2" bestFit="1" customWidth="1"/>
    <col min="15" max="16" width="9.140625" style="2"/>
  </cols>
  <sheetData>
    <row r="1" spans="1:17" x14ac:dyDescent="0.25">
      <c r="A1" s="8" t="s">
        <v>1</v>
      </c>
      <c r="B1" s="7" t="s">
        <v>3</v>
      </c>
      <c r="C1" s="7" t="s">
        <v>4</v>
      </c>
      <c r="D1" s="7" t="s">
        <v>5</v>
      </c>
      <c r="E1" s="7" t="s">
        <v>6</v>
      </c>
      <c r="F1" s="7" t="s">
        <v>7</v>
      </c>
      <c r="G1" s="7" t="s">
        <v>8</v>
      </c>
      <c r="H1" s="7" t="s">
        <v>9</v>
      </c>
      <c r="I1" s="7" t="s">
        <v>10</v>
      </c>
      <c r="J1" s="7" t="s">
        <v>11</v>
      </c>
      <c r="K1" s="7" t="s">
        <v>7</v>
      </c>
      <c r="L1" s="7" t="s">
        <v>12</v>
      </c>
      <c r="M1" s="7" t="s">
        <v>13</v>
      </c>
      <c r="N1" s="7" t="s">
        <v>14</v>
      </c>
      <c r="O1" s="7" t="s">
        <v>15</v>
      </c>
      <c r="P1" s="7" t="s">
        <v>16</v>
      </c>
      <c r="Q1" s="7" t="s">
        <v>31</v>
      </c>
    </row>
    <row r="2" spans="1:17" x14ac:dyDescent="0.25">
      <c r="A2" s="5" t="str">
        <f>Teams!A2</f>
        <v>01- T1</v>
      </c>
      <c r="B2" s="6">
        <v>10</v>
      </c>
      <c r="C2" s="6">
        <v>9</v>
      </c>
      <c r="D2" s="6">
        <v>10</v>
      </c>
      <c r="E2" s="6">
        <v>16</v>
      </c>
      <c r="F2" s="6">
        <v>8</v>
      </c>
      <c r="G2" s="6">
        <v>6</v>
      </c>
      <c r="H2" s="6">
        <v>9</v>
      </c>
      <c r="I2" s="6">
        <v>10</v>
      </c>
      <c r="J2" s="6">
        <v>9</v>
      </c>
      <c r="K2" s="6">
        <v>10</v>
      </c>
      <c r="L2" s="6">
        <v>9</v>
      </c>
      <c r="M2" s="6">
        <v>8</v>
      </c>
      <c r="N2" s="6">
        <v>22</v>
      </c>
      <c r="O2" s="7">
        <f>SUM(B2:N2)</f>
        <v>136</v>
      </c>
      <c r="P2" s="6" t="s">
        <v>30</v>
      </c>
      <c r="Q2">
        <v>13394</v>
      </c>
    </row>
    <row r="3" spans="1:17" x14ac:dyDescent="0.25">
      <c r="A3" s="5" t="str">
        <f>Teams!A3</f>
        <v>02- T2</v>
      </c>
      <c r="B3" s="6">
        <v>9</v>
      </c>
      <c r="C3" s="6">
        <v>7</v>
      </c>
      <c r="D3" s="6">
        <v>7</v>
      </c>
      <c r="E3" s="6">
        <v>9</v>
      </c>
      <c r="F3" s="6">
        <v>9</v>
      </c>
      <c r="G3" s="6">
        <v>7</v>
      </c>
      <c r="H3" s="6">
        <v>8</v>
      </c>
      <c r="I3" s="6">
        <v>9</v>
      </c>
      <c r="J3" s="6">
        <v>18</v>
      </c>
      <c r="K3" s="6">
        <v>10</v>
      </c>
      <c r="L3" s="6">
        <v>8</v>
      </c>
      <c r="M3" s="6">
        <v>7</v>
      </c>
      <c r="N3" s="6">
        <v>22</v>
      </c>
      <c r="O3" s="7">
        <f t="shared" ref="O3:O18" si="0">SUM(B3:N3)</f>
        <v>130</v>
      </c>
      <c r="P3" s="6" t="s">
        <v>27</v>
      </c>
      <c r="Q3">
        <v>14565</v>
      </c>
    </row>
    <row r="4" spans="1:17" x14ac:dyDescent="0.25">
      <c r="A4" s="5" t="str">
        <f>Teams!A4</f>
        <v>03- T3</v>
      </c>
      <c r="B4" s="6">
        <v>8</v>
      </c>
      <c r="C4" s="6">
        <v>6</v>
      </c>
      <c r="D4" s="6">
        <v>7</v>
      </c>
      <c r="E4" s="6">
        <v>9</v>
      </c>
      <c r="F4" s="6">
        <v>9</v>
      </c>
      <c r="G4" s="6">
        <v>5</v>
      </c>
      <c r="H4" s="6">
        <v>18</v>
      </c>
      <c r="I4" s="6">
        <v>7</v>
      </c>
      <c r="J4" s="6">
        <v>7</v>
      </c>
      <c r="K4" s="6">
        <v>10</v>
      </c>
      <c r="L4" s="6">
        <v>8</v>
      </c>
      <c r="M4" s="6">
        <v>6</v>
      </c>
      <c r="N4" s="6">
        <v>26</v>
      </c>
      <c r="O4" s="7">
        <f t="shared" si="0"/>
        <v>126</v>
      </c>
      <c r="P4" s="6" t="s">
        <v>28</v>
      </c>
      <c r="Q4">
        <v>13835</v>
      </c>
    </row>
    <row r="5" spans="1:17" x14ac:dyDescent="0.25">
      <c r="A5" s="5" t="str">
        <f>Teams!A5</f>
        <v>04- T4</v>
      </c>
      <c r="B5" s="6">
        <v>5</v>
      </c>
      <c r="C5" s="6">
        <v>8</v>
      </c>
      <c r="D5" s="6">
        <v>10</v>
      </c>
      <c r="E5" s="6">
        <v>10</v>
      </c>
      <c r="F5" s="6">
        <v>9</v>
      </c>
      <c r="G5" s="6">
        <v>6</v>
      </c>
      <c r="H5" s="6">
        <v>18</v>
      </c>
      <c r="I5" s="6">
        <v>10</v>
      </c>
      <c r="J5" s="6">
        <v>10</v>
      </c>
      <c r="K5" s="6">
        <v>9</v>
      </c>
      <c r="L5" s="6">
        <v>10</v>
      </c>
      <c r="M5" s="6">
        <v>8</v>
      </c>
      <c r="N5" s="6">
        <v>26</v>
      </c>
      <c r="O5" s="7">
        <f t="shared" si="0"/>
        <v>139</v>
      </c>
      <c r="P5" s="6" t="s">
        <v>28</v>
      </c>
      <c r="Q5">
        <v>13826</v>
      </c>
    </row>
    <row r="6" spans="1:17" x14ac:dyDescent="0.25">
      <c r="A6" s="5" t="str">
        <f>Teams!A6</f>
        <v>05- T5</v>
      </c>
      <c r="B6" s="6">
        <v>4</v>
      </c>
      <c r="C6" s="6">
        <v>6</v>
      </c>
      <c r="D6" s="6">
        <v>7</v>
      </c>
      <c r="E6" s="6">
        <v>7</v>
      </c>
      <c r="F6" s="6">
        <v>8</v>
      </c>
      <c r="G6" s="6">
        <v>6</v>
      </c>
      <c r="H6" s="6">
        <v>7</v>
      </c>
      <c r="I6" s="6">
        <v>8</v>
      </c>
      <c r="J6" s="6">
        <v>6</v>
      </c>
      <c r="K6" s="6">
        <v>9</v>
      </c>
      <c r="L6" s="6">
        <v>8</v>
      </c>
      <c r="M6" s="6">
        <v>12</v>
      </c>
      <c r="N6" s="6">
        <v>19</v>
      </c>
      <c r="O6" s="7">
        <f t="shared" si="0"/>
        <v>107</v>
      </c>
      <c r="P6" s="6" t="s">
        <v>29</v>
      </c>
      <c r="Q6">
        <v>17324</v>
      </c>
    </row>
    <row r="7" spans="1:17" x14ac:dyDescent="0.25">
      <c r="A7" s="5" t="str">
        <f>Teams!A7</f>
        <v>06- T6</v>
      </c>
      <c r="B7" s="6">
        <v>6</v>
      </c>
      <c r="C7" s="6">
        <v>7</v>
      </c>
      <c r="D7" s="6">
        <v>6</v>
      </c>
      <c r="E7" s="6">
        <v>18</v>
      </c>
      <c r="F7" s="6">
        <v>6</v>
      </c>
      <c r="G7" s="6">
        <v>7</v>
      </c>
      <c r="H7" s="6">
        <v>5</v>
      </c>
      <c r="I7" s="6">
        <v>8</v>
      </c>
      <c r="J7" s="6">
        <v>6</v>
      </c>
      <c r="K7" s="6">
        <v>10</v>
      </c>
      <c r="L7" s="6">
        <v>8</v>
      </c>
      <c r="M7" s="6">
        <v>6</v>
      </c>
      <c r="N7" s="6">
        <v>16</v>
      </c>
      <c r="O7" s="7">
        <f t="shared" si="0"/>
        <v>109</v>
      </c>
      <c r="P7" s="6" t="s">
        <v>30</v>
      </c>
      <c r="Q7">
        <v>13876</v>
      </c>
    </row>
    <row r="8" spans="1:17" x14ac:dyDescent="0.25">
      <c r="A8" s="5" t="str">
        <f>Teams!A8</f>
        <v>07- T7</v>
      </c>
      <c r="B8" s="6">
        <v>5</v>
      </c>
      <c r="C8" s="6">
        <v>6</v>
      </c>
      <c r="D8" s="6">
        <v>7</v>
      </c>
      <c r="E8" s="6">
        <v>8</v>
      </c>
      <c r="F8" s="6">
        <v>7</v>
      </c>
      <c r="G8" s="6">
        <v>4</v>
      </c>
      <c r="H8" s="6">
        <v>8</v>
      </c>
      <c r="I8" s="6">
        <v>7</v>
      </c>
      <c r="J8" s="6">
        <v>10</v>
      </c>
      <c r="K8" s="6">
        <v>9</v>
      </c>
      <c r="L8" s="6">
        <v>7</v>
      </c>
      <c r="M8" s="6">
        <v>6</v>
      </c>
      <c r="N8" s="6">
        <v>18</v>
      </c>
      <c r="O8" s="7">
        <f t="shared" si="0"/>
        <v>102</v>
      </c>
      <c r="P8" s="6" t="s">
        <v>27</v>
      </c>
      <c r="Q8">
        <v>12940</v>
      </c>
    </row>
    <row r="9" spans="1:17" x14ac:dyDescent="0.25">
      <c r="A9" s="5" t="str">
        <f>Teams!A9</f>
        <v>08- T8</v>
      </c>
      <c r="B9" s="6">
        <v>8</v>
      </c>
      <c r="C9" s="6">
        <v>8</v>
      </c>
      <c r="D9" s="6">
        <v>10</v>
      </c>
      <c r="E9" s="6">
        <v>8</v>
      </c>
      <c r="F9" s="6">
        <v>7</v>
      </c>
      <c r="G9" s="6">
        <v>8</v>
      </c>
      <c r="H9" s="6">
        <v>18</v>
      </c>
      <c r="I9" s="6">
        <v>9</v>
      </c>
      <c r="J9" s="6">
        <v>10</v>
      </c>
      <c r="K9" s="6">
        <v>10</v>
      </c>
      <c r="L9" s="6">
        <v>9</v>
      </c>
      <c r="M9" s="6">
        <v>8</v>
      </c>
      <c r="N9" s="6">
        <v>26</v>
      </c>
      <c r="O9" s="7">
        <f t="shared" si="0"/>
        <v>139</v>
      </c>
      <c r="P9" s="6" t="s">
        <v>28</v>
      </c>
      <c r="Q9">
        <v>13892</v>
      </c>
    </row>
    <row r="10" spans="1:17" x14ac:dyDescent="0.25">
      <c r="A10" s="5" t="str">
        <f>Teams!A10</f>
        <v>09- T9</v>
      </c>
      <c r="B10" s="6">
        <v>7</v>
      </c>
      <c r="C10" s="6">
        <v>6</v>
      </c>
      <c r="D10" s="6">
        <v>5</v>
      </c>
      <c r="E10" s="6">
        <v>7</v>
      </c>
      <c r="F10" s="6">
        <v>8</v>
      </c>
      <c r="G10" s="6">
        <v>4</v>
      </c>
      <c r="H10" s="6">
        <v>9</v>
      </c>
      <c r="I10" s="6">
        <v>5</v>
      </c>
      <c r="J10" s="6">
        <v>14</v>
      </c>
      <c r="K10" s="6">
        <v>10</v>
      </c>
      <c r="L10" s="6">
        <v>8</v>
      </c>
      <c r="M10" s="6">
        <v>4</v>
      </c>
      <c r="N10" s="6">
        <v>13</v>
      </c>
      <c r="O10" s="7">
        <f t="shared" si="0"/>
        <v>100</v>
      </c>
      <c r="P10" s="6" t="s">
        <v>27</v>
      </c>
      <c r="Q10">
        <v>13888</v>
      </c>
    </row>
    <row r="11" spans="1:17" x14ac:dyDescent="0.25">
      <c r="A11" s="5" t="str">
        <f>Teams!A11</f>
        <v>10- T10</v>
      </c>
      <c r="B11" s="6">
        <v>5</v>
      </c>
      <c r="C11" s="6">
        <v>7</v>
      </c>
      <c r="D11" s="6">
        <v>6</v>
      </c>
      <c r="E11" s="6">
        <v>6</v>
      </c>
      <c r="F11" s="6">
        <v>7</v>
      </c>
      <c r="G11" s="6">
        <v>4</v>
      </c>
      <c r="H11" s="6">
        <v>5</v>
      </c>
      <c r="I11" s="6">
        <v>4</v>
      </c>
      <c r="J11" s="6">
        <v>8</v>
      </c>
      <c r="K11" s="6">
        <v>9</v>
      </c>
      <c r="L11" s="6">
        <v>7</v>
      </c>
      <c r="M11" s="6">
        <v>14</v>
      </c>
      <c r="N11" s="6">
        <v>20</v>
      </c>
      <c r="O11" s="7">
        <f t="shared" si="0"/>
        <v>102</v>
      </c>
      <c r="P11" s="6" t="s">
        <v>29</v>
      </c>
      <c r="Q11">
        <v>14123</v>
      </c>
    </row>
    <row r="12" spans="1:17" x14ac:dyDescent="0.25">
      <c r="A12" s="5" t="str">
        <f>Teams!A12</f>
        <v>11- T11</v>
      </c>
      <c r="B12" s="6">
        <v>7</v>
      </c>
      <c r="C12" s="6">
        <v>7</v>
      </c>
      <c r="D12" s="6">
        <v>10</v>
      </c>
      <c r="E12" s="6">
        <v>8</v>
      </c>
      <c r="F12" s="6">
        <v>8</v>
      </c>
      <c r="G12" s="6">
        <v>6</v>
      </c>
      <c r="H12" s="6">
        <v>18</v>
      </c>
      <c r="I12" s="6">
        <v>8</v>
      </c>
      <c r="J12" s="6">
        <v>9</v>
      </c>
      <c r="K12" s="6">
        <v>9</v>
      </c>
      <c r="L12" s="6">
        <v>7</v>
      </c>
      <c r="M12" s="6">
        <v>8</v>
      </c>
      <c r="N12" s="6">
        <v>23</v>
      </c>
      <c r="O12" s="7">
        <f t="shared" si="0"/>
        <v>128</v>
      </c>
      <c r="P12" s="6" t="s">
        <v>28</v>
      </c>
      <c r="Q12">
        <v>9741</v>
      </c>
    </row>
    <row r="13" spans="1:17" x14ac:dyDescent="0.25">
      <c r="A13" s="5" t="str">
        <f>Teams!A13</f>
        <v>12- T12</v>
      </c>
      <c r="B13" s="6">
        <v>6</v>
      </c>
      <c r="C13" s="6">
        <v>7</v>
      </c>
      <c r="D13" s="6">
        <v>7</v>
      </c>
      <c r="E13" s="6">
        <v>10</v>
      </c>
      <c r="F13" s="6">
        <v>8</v>
      </c>
      <c r="G13" s="6">
        <v>6</v>
      </c>
      <c r="H13" s="6">
        <v>16</v>
      </c>
      <c r="I13" s="6">
        <v>7</v>
      </c>
      <c r="J13" s="6">
        <v>9</v>
      </c>
      <c r="K13" s="6">
        <v>10</v>
      </c>
      <c r="L13" s="6">
        <v>8</v>
      </c>
      <c r="M13" s="6">
        <v>6</v>
      </c>
      <c r="N13" s="6">
        <v>16</v>
      </c>
      <c r="O13" s="7">
        <f t="shared" si="0"/>
        <v>116</v>
      </c>
      <c r="P13" s="6" t="s">
        <v>28</v>
      </c>
      <c r="Q13">
        <v>12776</v>
      </c>
    </row>
    <row r="14" spans="1:17" x14ac:dyDescent="0.25">
      <c r="A14" s="5" t="str">
        <f>Teams!A14</f>
        <v>13- T13</v>
      </c>
      <c r="B14" s="6">
        <v>7</v>
      </c>
      <c r="C14" s="6">
        <v>5</v>
      </c>
      <c r="D14" s="6">
        <v>7</v>
      </c>
      <c r="E14" s="6">
        <v>20</v>
      </c>
      <c r="F14" s="6">
        <v>8</v>
      </c>
      <c r="G14" s="6">
        <v>7</v>
      </c>
      <c r="H14" s="6">
        <v>7</v>
      </c>
      <c r="I14" s="6">
        <v>5</v>
      </c>
      <c r="J14" s="6">
        <v>8</v>
      </c>
      <c r="K14" s="6">
        <v>9</v>
      </c>
      <c r="L14" s="6">
        <v>7</v>
      </c>
      <c r="M14" s="6">
        <v>6</v>
      </c>
      <c r="N14" s="6">
        <v>18</v>
      </c>
      <c r="O14" s="7">
        <f t="shared" si="0"/>
        <v>114</v>
      </c>
      <c r="P14" s="6" t="s">
        <v>30</v>
      </c>
      <c r="Q14">
        <v>13704</v>
      </c>
    </row>
    <row r="15" spans="1:17" x14ac:dyDescent="0.25">
      <c r="A15" s="5" t="str">
        <f>Teams!A15</f>
        <v>14- T14</v>
      </c>
      <c r="B15" s="6">
        <v>5</v>
      </c>
      <c r="C15" s="6">
        <v>7</v>
      </c>
      <c r="D15" s="6">
        <v>9</v>
      </c>
      <c r="E15" s="6">
        <v>8</v>
      </c>
      <c r="F15" s="6">
        <v>9</v>
      </c>
      <c r="G15" s="6">
        <v>6</v>
      </c>
      <c r="H15" s="6">
        <v>10</v>
      </c>
      <c r="I15" s="6">
        <v>8</v>
      </c>
      <c r="J15" s="6">
        <v>8</v>
      </c>
      <c r="K15" s="6">
        <v>8</v>
      </c>
      <c r="L15" s="6">
        <v>7</v>
      </c>
      <c r="M15" s="6">
        <v>16</v>
      </c>
      <c r="N15" s="6">
        <v>18</v>
      </c>
      <c r="O15" s="7">
        <f t="shared" si="0"/>
        <v>119</v>
      </c>
      <c r="P15" s="6" t="s">
        <v>29</v>
      </c>
      <c r="Q15">
        <v>13329</v>
      </c>
    </row>
    <row r="16" spans="1:17" x14ac:dyDescent="0.25">
      <c r="A16" s="5" t="str">
        <f>Teams!A16</f>
        <v>15- T15</v>
      </c>
      <c r="B16" s="6">
        <v>6</v>
      </c>
      <c r="C16" s="6">
        <v>8</v>
      </c>
      <c r="D16" s="6">
        <v>9</v>
      </c>
      <c r="E16" s="6">
        <v>9</v>
      </c>
      <c r="F16" s="6">
        <v>9</v>
      </c>
      <c r="G16" s="6">
        <v>6</v>
      </c>
      <c r="H16" s="6">
        <v>9</v>
      </c>
      <c r="I16" s="6">
        <v>8</v>
      </c>
      <c r="J16" s="6">
        <v>12</v>
      </c>
      <c r="K16" s="6">
        <v>10</v>
      </c>
      <c r="L16" s="6">
        <v>9</v>
      </c>
      <c r="M16" s="6">
        <v>7</v>
      </c>
      <c r="N16" s="6">
        <v>24</v>
      </c>
      <c r="O16" s="7">
        <f t="shared" si="0"/>
        <v>126</v>
      </c>
      <c r="P16" s="6" t="s">
        <v>27</v>
      </c>
      <c r="Q16">
        <v>13891</v>
      </c>
    </row>
    <row r="17" spans="1:17" x14ac:dyDescent="0.25">
      <c r="A17" s="5" t="str">
        <f>Teams!A17</f>
        <v>16- T16</v>
      </c>
      <c r="B17" s="6">
        <v>6</v>
      </c>
      <c r="C17" s="6">
        <v>7</v>
      </c>
      <c r="D17" s="6">
        <v>9</v>
      </c>
      <c r="E17" s="6">
        <v>8</v>
      </c>
      <c r="F17" s="6">
        <v>7</v>
      </c>
      <c r="G17" s="6">
        <v>6</v>
      </c>
      <c r="H17" s="6">
        <v>7</v>
      </c>
      <c r="I17" s="6">
        <v>8</v>
      </c>
      <c r="J17" s="6">
        <v>8</v>
      </c>
      <c r="K17" s="6">
        <v>10</v>
      </c>
      <c r="L17" s="6">
        <v>9</v>
      </c>
      <c r="M17" s="6">
        <v>16</v>
      </c>
      <c r="N17" s="6">
        <v>23</v>
      </c>
      <c r="O17" s="7">
        <f t="shared" si="0"/>
        <v>124</v>
      </c>
      <c r="P17" s="6" t="s">
        <v>29</v>
      </c>
      <c r="Q17">
        <v>14050</v>
      </c>
    </row>
    <row r="18" spans="1:17" x14ac:dyDescent="0.25">
      <c r="A18" s="5" t="str">
        <f>Teams!A18</f>
        <v>17- T17</v>
      </c>
      <c r="B18" s="6">
        <v>5</v>
      </c>
      <c r="C18" s="6">
        <v>14</v>
      </c>
      <c r="D18" s="6">
        <v>8</v>
      </c>
      <c r="E18" s="6">
        <v>9</v>
      </c>
      <c r="F18" s="6">
        <v>7</v>
      </c>
      <c r="G18" s="6">
        <v>7</v>
      </c>
      <c r="H18" s="6">
        <v>9</v>
      </c>
      <c r="I18" s="6">
        <v>10</v>
      </c>
      <c r="J18" s="6">
        <v>6</v>
      </c>
      <c r="K18" s="6">
        <v>10</v>
      </c>
      <c r="L18" s="6">
        <v>6</v>
      </c>
      <c r="M18" s="6">
        <v>9</v>
      </c>
      <c r="N18" s="6">
        <v>18</v>
      </c>
      <c r="O18" s="7">
        <f t="shared" si="0"/>
        <v>118</v>
      </c>
      <c r="P18" s="6" t="s">
        <v>26</v>
      </c>
      <c r="Q18">
        <v>13512</v>
      </c>
    </row>
    <row r="19" spans="1:17" x14ac:dyDescent="0.25">
      <c r="A19" s="5" t="str">
        <f>Teams!A19</f>
        <v>18- T18</v>
      </c>
      <c r="B19" s="6">
        <v>6</v>
      </c>
      <c r="C19" s="6">
        <v>8</v>
      </c>
      <c r="D19" s="6">
        <v>8</v>
      </c>
      <c r="E19" s="6">
        <v>10</v>
      </c>
      <c r="F19" s="6">
        <v>9</v>
      </c>
      <c r="G19" s="6">
        <v>6</v>
      </c>
      <c r="H19" s="6">
        <v>7</v>
      </c>
      <c r="I19" s="6">
        <v>4</v>
      </c>
      <c r="J19" s="6">
        <v>18</v>
      </c>
      <c r="K19" s="6">
        <v>9</v>
      </c>
      <c r="L19" s="6">
        <v>7</v>
      </c>
      <c r="M19" s="6">
        <v>8</v>
      </c>
      <c r="N19" s="6">
        <v>16</v>
      </c>
      <c r="O19" s="7">
        <f t="shared" ref="O19:O20" si="1">SUM(B19:N19)</f>
        <v>116</v>
      </c>
      <c r="P19" s="6" t="s">
        <v>27</v>
      </c>
      <c r="Q19">
        <v>13402</v>
      </c>
    </row>
    <row r="20" spans="1:17" x14ac:dyDescent="0.25">
      <c r="A20" s="5" t="str">
        <f>Teams!A20</f>
        <v>19- T19</v>
      </c>
      <c r="B20" s="6">
        <v>6</v>
      </c>
      <c r="C20" s="6">
        <v>7</v>
      </c>
      <c r="D20" s="6">
        <v>7</v>
      </c>
      <c r="E20" s="6">
        <v>9</v>
      </c>
      <c r="F20" s="6">
        <v>7</v>
      </c>
      <c r="G20" s="6">
        <v>4</v>
      </c>
      <c r="H20" s="6">
        <v>7</v>
      </c>
      <c r="I20" s="6">
        <v>6</v>
      </c>
      <c r="J20" s="6">
        <v>14</v>
      </c>
      <c r="K20" s="6">
        <v>9</v>
      </c>
      <c r="L20" s="6">
        <v>6</v>
      </c>
      <c r="M20" s="6">
        <v>5</v>
      </c>
      <c r="N20" s="6">
        <v>17</v>
      </c>
      <c r="O20" s="7">
        <f t="shared" si="1"/>
        <v>104</v>
      </c>
      <c r="P20" s="6" t="s">
        <v>27</v>
      </c>
      <c r="Q20">
        <v>12086</v>
      </c>
    </row>
    <row r="21" spans="1:17" x14ac:dyDescent="0.25">
      <c r="A21" s="5" t="str">
        <f>Teams!A21</f>
        <v>20- T20</v>
      </c>
      <c r="B21" s="6">
        <v>7</v>
      </c>
      <c r="C21" s="6">
        <v>7</v>
      </c>
      <c r="D21" s="6">
        <v>8</v>
      </c>
      <c r="E21" s="6">
        <v>10</v>
      </c>
      <c r="F21" s="6">
        <v>9</v>
      </c>
      <c r="G21" s="6">
        <v>8</v>
      </c>
      <c r="H21" s="6">
        <v>8</v>
      </c>
      <c r="I21" s="6">
        <v>10</v>
      </c>
      <c r="J21" s="6">
        <v>14</v>
      </c>
      <c r="K21" s="6">
        <v>10</v>
      </c>
      <c r="L21" s="6">
        <v>8</v>
      </c>
      <c r="M21" s="6">
        <v>7</v>
      </c>
      <c r="N21" s="6">
        <v>25</v>
      </c>
      <c r="O21" s="7">
        <f t="shared" ref="O21" si="2">SUM(B21:N21)</f>
        <v>131</v>
      </c>
      <c r="P21" s="6" t="s">
        <v>27</v>
      </c>
      <c r="Q21">
        <v>13666</v>
      </c>
    </row>
    <row r="22" spans="1:17" x14ac:dyDescent="0.25">
      <c r="A22" s="5" t="str">
        <f>Teams!A22</f>
        <v>21- T21</v>
      </c>
      <c r="B22" s="6">
        <v>7</v>
      </c>
      <c r="C22" s="6">
        <v>8</v>
      </c>
      <c r="D22" s="6">
        <v>8</v>
      </c>
      <c r="E22" s="6">
        <v>8</v>
      </c>
      <c r="F22" s="6">
        <v>8</v>
      </c>
      <c r="G22" s="6">
        <v>6</v>
      </c>
      <c r="H22" s="6">
        <v>7</v>
      </c>
      <c r="I22" s="6">
        <v>8</v>
      </c>
      <c r="J22" s="6">
        <v>7</v>
      </c>
      <c r="K22" s="6">
        <v>9</v>
      </c>
      <c r="L22" s="6">
        <v>10</v>
      </c>
      <c r="M22" s="6">
        <v>18</v>
      </c>
      <c r="N22" s="6">
        <v>24</v>
      </c>
      <c r="O22" s="7">
        <f t="shared" ref="O22:O27" si="3">SUM(B22:N22)</f>
        <v>128</v>
      </c>
      <c r="P22" s="6" t="s">
        <v>29</v>
      </c>
      <c r="Q22">
        <v>14647</v>
      </c>
    </row>
    <row r="23" spans="1:17" x14ac:dyDescent="0.25">
      <c r="A23" s="5" t="str">
        <f>Teams!A23</f>
        <v>22- T22</v>
      </c>
      <c r="B23" s="6">
        <v>7</v>
      </c>
      <c r="C23" s="6">
        <v>8</v>
      </c>
      <c r="D23" s="6">
        <v>10</v>
      </c>
      <c r="E23" s="6">
        <v>16</v>
      </c>
      <c r="F23" s="6">
        <v>9</v>
      </c>
      <c r="G23" s="6">
        <v>7</v>
      </c>
      <c r="H23" s="6">
        <v>9</v>
      </c>
      <c r="I23" s="6">
        <v>9</v>
      </c>
      <c r="J23" s="6">
        <v>6</v>
      </c>
      <c r="K23" s="6">
        <v>10</v>
      </c>
      <c r="L23" s="6">
        <v>9</v>
      </c>
      <c r="M23" s="6">
        <v>9</v>
      </c>
      <c r="N23" s="6">
        <v>22</v>
      </c>
      <c r="O23" s="7">
        <f t="shared" si="3"/>
        <v>131</v>
      </c>
      <c r="P23" s="6" t="s">
        <v>30</v>
      </c>
      <c r="Q23">
        <v>10946</v>
      </c>
    </row>
    <row r="24" spans="1:17" x14ac:dyDescent="0.25">
      <c r="A24" s="5" t="str">
        <f>Teams!A24</f>
        <v>23- T23</v>
      </c>
      <c r="B24" s="6">
        <v>3</v>
      </c>
      <c r="C24" s="6">
        <v>6</v>
      </c>
      <c r="D24" s="6">
        <v>9</v>
      </c>
      <c r="E24" s="6">
        <v>8</v>
      </c>
      <c r="F24" s="6">
        <v>8</v>
      </c>
      <c r="G24" s="6">
        <v>6</v>
      </c>
      <c r="H24" s="6">
        <v>9</v>
      </c>
      <c r="I24" s="6">
        <v>8</v>
      </c>
      <c r="J24" s="6">
        <v>9</v>
      </c>
      <c r="K24" s="6">
        <v>10</v>
      </c>
      <c r="L24" s="6">
        <v>8</v>
      </c>
      <c r="M24" s="6">
        <v>16</v>
      </c>
      <c r="N24" s="6">
        <v>22</v>
      </c>
      <c r="O24" s="7">
        <f t="shared" si="3"/>
        <v>122</v>
      </c>
      <c r="P24" s="6" t="s">
        <v>29</v>
      </c>
      <c r="Q24">
        <v>12724</v>
      </c>
    </row>
    <row r="25" spans="1:17" x14ac:dyDescent="0.25">
      <c r="A25" s="5" t="str">
        <f>Teams!A25</f>
        <v>24- T24</v>
      </c>
      <c r="B25" s="6">
        <v>6</v>
      </c>
      <c r="C25" s="6">
        <v>6</v>
      </c>
      <c r="D25" s="6">
        <v>5</v>
      </c>
      <c r="E25" s="6">
        <v>10</v>
      </c>
      <c r="F25" s="6">
        <v>6</v>
      </c>
      <c r="G25" s="6">
        <v>4</v>
      </c>
      <c r="H25" s="6">
        <v>4</v>
      </c>
      <c r="I25" s="6">
        <v>7</v>
      </c>
      <c r="J25" s="6">
        <v>7</v>
      </c>
      <c r="K25" s="6">
        <v>7</v>
      </c>
      <c r="L25" s="6">
        <v>5</v>
      </c>
      <c r="M25" s="6">
        <v>5</v>
      </c>
      <c r="N25" s="6">
        <v>11</v>
      </c>
      <c r="O25" s="7">
        <f t="shared" si="3"/>
        <v>83</v>
      </c>
      <c r="P25" s="6" t="s">
        <v>30</v>
      </c>
      <c r="Q25">
        <v>14640</v>
      </c>
    </row>
    <row r="26" spans="1:17" x14ac:dyDescent="0.25">
      <c r="A26" s="5" t="str">
        <f>Teams!A26</f>
        <v>25- T25</v>
      </c>
      <c r="B26" s="6">
        <v>8</v>
      </c>
      <c r="C26" s="6">
        <v>8</v>
      </c>
      <c r="D26" s="6">
        <v>8</v>
      </c>
      <c r="E26" s="6">
        <v>20</v>
      </c>
      <c r="F26" s="6">
        <v>8</v>
      </c>
      <c r="G26" s="6">
        <v>9</v>
      </c>
      <c r="H26" s="6">
        <v>9</v>
      </c>
      <c r="I26" s="6">
        <v>9</v>
      </c>
      <c r="J26" s="6">
        <v>9</v>
      </c>
      <c r="K26" s="6">
        <v>9</v>
      </c>
      <c r="L26" s="6">
        <v>9</v>
      </c>
      <c r="M26" s="6">
        <v>8</v>
      </c>
      <c r="N26" s="6">
        <v>22</v>
      </c>
      <c r="O26" s="7">
        <f t="shared" si="3"/>
        <v>136</v>
      </c>
      <c r="P26" s="6" t="s">
        <v>30</v>
      </c>
      <c r="Q26">
        <v>13870</v>
      </c>
    </row>
    <row r="27" spans="1:17" x14ac:dyDescent="0.25">
      <c r="A27" s="5" t="str">
        <f>Teams!A27</f>
        <v>99- T26</v>
      </c>
      <c r="B27" s="6">
        <v>0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7">
        <f t="shared" si="3"/>
        <v>0</v>
      </c>
      <c r="P27" s="6" t="s">
        <v>33</v>
      </c>
      <c r="Q27">
        <v>0</v>
      </c>
    </row>
    <row r="28" spans="1:17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</row>
  </sheetData>
  <conditionalFormatting sqref="B2:B27">
    <cfRule type="expression" dxfId="14" priority="12">
      <formula>$P2 = "B"</formula>
    </cfRule>
  </conditionalFormatting>
  <conditionalFormatting sqref="C2:C27">
    <cfRule type="expression" dxfId="13" priority="11">
      <formula>$P2 = "C"</formula>
    </cfRule>
  </conditionalFormatting>
  <conditionalFormatting sqref="D2:D27">
    <cfRule type="expression" dxfId="12" priority="10">
      <formula>$P2 = "D"</formula>
    </cfRule>
  </conditionalFormatting>
  <conditionalFormatting sqref="E2:E27">
    <cfRule type="expression" dxfId="11" priority="9">
      <formula>$P2 = "E"</formula>
    </cfRule>
  </conditionalFormatting>
  <conditionalFormatting sqref="F2:F27">
    <cfRule type="expression" dxfId="10" priority="8">
      <formula>$P2 = "F"</formula>
    </cfRule>
  </conditionalFormatting>
  <conditionalFormatting sqref="G2:G27">
    <cfRule type="expression" dxfId="9" priority="7">
      <formula>$P2 = "G"</formula>
    </cfRule>
  </conditionalFormatting>
  <conditionalFormatting sqref="H2:H27">
    <cfRule type="expression" dxfId="8" priority="6">
      <formula>$P2 = "H"</formula>
    </cfRule>
  </conditionalFormatting>
  <conditionalFormatting sqref="I2:I27">
    <cfRule type="expression" dxfId="7" priority="5">
      <formula>$P2 = "I"</formula>
    </cfRule>
  </conditionalFormatting>
  <conditionalFormatting sqref="J2:J27">
    <cfRule type="expression" dxfId="6" priority="4">
      <formula>$P2 = "J"</formula>
    </cfRule>
  </conditionalFormatting>
  <conditionalFormatting sqref="K2:K27">
    <cfRule type="expression" dxfId="5" priority="3">
      <formula>$P2 = "K"</formula>
    </cfRule>
  </conditionalFormatting>
  <conditionalFormatting sqref="L2:L27">
    <cfRule type="expression" dxfId="4" priority="2">
      <formula>$P2 = "L"</formula>
    </cfRule>
  </conditionalFormatting>
  <conditionalFormatting sqref="M2:M27">
    <cfRule type="expression" dxfId="3" priority="1">
      <formula>$P2 = "M"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E5"/>
  <sheetViews>
    <sheetView workbookViewId="0">
      <selection activeCell="E3" sqref="E3"/>
    </sheetView>
  </sheetViews>
  <sheetFormatPr defaultRowHeight="15" x14ac:dyDescent="0.25"/>
  <cols>
    <col min="4" max="4" width="2.85546875" customWidth="1"/>
  </cols>
  <sheetData>
    <row r="2" spans="1:5" x14ac:dyDescent="0.25">
      <c r="A2" s="19" t="s">
        <v>19</v>
      </c>
      <c r="B2" s="19"/>
      <c r="C2" s="19"/>
      <c r="D2" s="1"/>
      <c r="E2" s="9" t="s">
        <v>86</v>
      </c>
    </row>
    <row r="3" spans="1:5" x14ac:dyDescent="0.25">
      <c r="A3" s="19" t="s">
        <v>32</v>
      </c>
      <c r="B3" s="19"/>
      <c r="C3" s="19"/>
      <c r="D3" s="1"/>
      <c r="E3" s="17">
        <v>13823</v>
      </c>
    </row>
    <row r="5" spans="1:5" x14ac:dyDescent="0.25">
      <c r="A5" s="18" t="s">
        <v>18</v>
      </c>
      <c r="B5" s="18"/>
      <c r="C5" s="18"/>
    </row>
  </sheetData>
  <mergeCells count="3">
    <mergeCell ref="A5:C5"/>
    <mergeCell ref="A2:C2"/>
    <mergeCell ref="A3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reateReportScoreboard">
                <anchor moveWithCells="1" sizeWithCells="1">
                  <from>
                    <xdr:col>0</xdr:col>
                    <xdr:colOff>38100</xdr:colOff>
                    <xdr:row>5</xdr:row>
                    <xdr:rowOff>47625</xdr:rowOff>
                  </from>
                  <to>
                    <xdr:col>2</xdr:col>
                    <xdr:colOff>571500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28"/>
  <sheetViews>
    <sheetView tabSelected="1" zoomScaleNormal="100" workbookViewId="0">
      <selection activeCell="D4" sqref="D4"/>
    </sheetView>
  </sheetViews>
  <sheetFormatPr defaultRowHeight="15" x14ac:dyDescent="0.25"/>
  <cols>
    <col min="1" max="1" width="7.140625" bestFit="1" customWidth="1"/>
    <col min="2" max="2" width="26.140625" bestFit="1" customWidth="1"/>
    <col min="3" max="3" width="6.7109375" style="2" bestFit="1" customWidth="1"/>
    <col min="4" max="4" width="6.42578125" style="2" bestFit="1" customWidth="1"/>
    <col min="5" max="5" width="3.140625" style="2" bestFit="1" customWidth="1"/>
    <col min="6" max="6" width="45.85546875" customWidth="1"/>
  </cols>
  <sheetData>
    <row r="1" spans="1:9" x14ac:dyDescent="0.25">
      <c r="A1" s="22" t="s">
        <v>17</v>
      </c>
      <c r="B1" s="23"/>
      <c r="C1" s="20" t="s">
        <v>7</v>
      </c>
      <c r="D1" s="20"/>
      <c r="E1" s="15"/>
    </row>
    <row r="2" spans="1:9" x14ac:dyDescent="0.25">
      <c r="A2" s="16" t="s">
        <v>25</v>
      </c>
      <c r="B2" s="14" t="s">
        <v>1</v>
      </c>
      <c r="C2" s="13" t="s">
        <v>2</v>
      </c>
      <c r="D2" s="13" t="s">
        <v>15</v>
      </c>
      <c r="E2" s="13"/>
      <c r="G2" s="21" t="s">
        <v>22</v>
      </c>
      <c r="H2" s="21"/>
      <c r="I2" s="21"/>
    </row>
    <row r="3" spans="1:9" x14ac:dyDescent="0.25">
      <c r="A3">
        <v>1</v>
      </c>
      <c r="B3" s="3" t="s">
        <v>62</v>
      </c>
      <c r="C3" s="2">
        <v>9</v>
      </c>
      <c r="D3" s="2">
        <v>97</v>
      </c>
      <c r="E3" s="2" t="s">
        <v>21</v>
      </c>
      <c r="G3" s="11" t="s">
        <v>21</v>
      </c>
      <c r="H3" s="10" t="s">
        <v>23</v>
      </c>
      <c r="I3" s="12" t="s">
        <v>24</v>
      </c>
    </row>
    <row r="4" spans="1:9" x14ac:dyDescent="0.25">
      <c r="A4">
        <v>2</v>
      </c>
      <c r="B4" s="3" t="s">
        <v>63</v>
      </c>
      <c r="C4" s="2">
        <v>10</v>
      </c>
      <c r="D4" s="2">
        <v>97</v>
      </c>
      <c r="E4" s="2" t="s">
        <v>21</v>
      </c>
    </row>
    <row r="5" spans="1:9" x14ac:dyDescent="0.25">
      <c r="A5">
        <v>3</v>
      </c>
      <c r="B5" s="3" t="s">
        <v>61</v>
      </c>
      <c r="C5" s="2">
        <v>10</v>
      </c>
      <c r="D5" s="2">
        <v>96</v>
      </c>
      <c r="E5" s="2" t="s">
        <v>23</v>
      </c>
    </row>
    <row r="6" spans="1:9" x14ac:dyDescent="0.25">
      <c r="A6">
        <v>4</v>
      </c>
      <c r="B6" s="3" t="s">
        <v>60</v>
      </c>
      <c r="C6" s="2">
        <v>9</v>
      </c>
      <c r="D6" s="2">
        <v>95</v>
      </c>
      <c r="E6" s="2" t="s">
        <v>23</v>
      </c>
    </row>
    <row r="7" spans="1:9" x14ac:dyDescent="0.25">
      <c r="A7">
        <v>5</v>
      </c>
      <c r="B7" s="3" t="s">
        <v>66</v>
      </c>
      <c r="C7" s="2">
        <v>10</v>
      </c>
      <c r="D7" s="2">
        <v>93</v>
      </c>
      <c r="E7" s="2" t="s">
        <v>21</v>
      </c>
    </row>
    <row r="8" spans="1:9" x14ac:dyDescent="0.25">
      <c r="A8">
        <v>6</v>
      </c>
      <c r="B8" s="3" t="s">
        <v>64</v>
      </c>
      <c r="C8" s="2">
        <v>10</v>
      </c>
      <c r="D8" s="2">
        <v>91</v>
      </c>
      <c r="E8" s="2" t="s">
        <v>23</v>
      </c>
    </row>
    <row r="9" spans="1:9" x14ac:dyDescent="0.25">
      <c r="A9">
        <v>7</v>
      </c>
      <c r="B9" s="3" t="s">
        <v>65</v>
      </c>
      <c r="C9" s="2">
        <v>10</v>
      </c>
      <c r="D9" s="2">
        <v>91</v>
      </c>
      <c r="E9" s="2" t="s">
        <v>23</v>
      </c>
    </row>
    <row r="10" spans="1:9" x14ac:dyDescent="0.25">
      <c r="A10">
        <v>8</v>
      </c>
      <c r="B10" s="3" t="s">
        <v>68</v>
      </c>
      <c r="C10" s="2">
        <v>9</v>
      </c>
      <c r="D10" s="2">
        <v>90</v>
      </c>
      <c r="E10" s="2" t="s">
        <v>21</v>
      </c>
    </row>
    <row r="11" spans="1:9" x14ac:dyDescent="0.25">
      <c r="A11">
        <v>9</v>
      </c>
      <c r="B11" s="3" t="s">
        <v>69</v>
      </c>
      <c r="C11" s="2">
        <v>10</v>
      </c>
      <c r="D11" s="2">
        <v>86</v>
      </c>
      <c r="E11" s="2" t="s">
        <v>21</v>
      </c>
    </row>
    <row r="12" spans="1:9" x14ac:dyDescent="0.25">
      <c r="A12">
        <v>10</v>
      </c>
      <c r="B12" s="3" t="s">
        <v>70</v>
      </c>
      <c r="C12" s="2">
        <v>10</v>
      </c>
      <c r="D12" s="2">
        <v>86</v>
      </c>
      <c r="E12" s="2" t="s">
        <v>21</v>
      </c>
    </row>
    <row r="13" spans="1:9" x14ac:dyDescent="0.25">
      <c r="A13">
        <v>11</v>
      </c>
      <c r="B13" s="3" t="s">
        <v>76</v>
      </c>
      <c r="C13" s="2">
        <v>10</v>
      </c>
      <c r="D13" s="2">
        <v>86</v>
      </c>
      <c r="E13" s="2" t="s">
        <v>21</v>
      </c>
    </row>
    <row r="14" spans="1:9" x14ac:dyDescent="0.25">
      <c r="A14">
        <v>12</v>
      </c>
      <c r="B14" s="3" t="s">
        <v>74</v>
      </c>
      <c r="C14" s="2">
        <v>10</v>
      </c>
      <c r="D14" s="2">
        <v>85</v>
      </c>
      <c r="E14" s="2" t="s">
        <v>21</v>
      </c>
    </row>
    <row r="15" spans="1:9" x14ac:dyDescent="0.25">
      <c r="A15">
        <v>13</v>
      </c>
      <c r="B15" s="3" t="s">
        <v>75</v>
      </c>
      <c r="C15" s="2">
        <v>9</v>
      </c>
      <c r="D15" s="2">
        <v>85</v>
      </c>
      <c r="E15" s="2" t="s">
        <v>21</v>
      </c>
    </row>
    <row r="16" spans="1:9" x14ac:dyDescent="0.25">
      <c r="A16">
        <v>14</v>
      </c>
      <c r="B16" s="3" t="s">
        <v>77</v>
      </c>
      <c r="C16" s="2">
        <v>9</v>
      </c>
      <c r="D16" s="2">
        <v>83</v>
      </c>
      <c r="E16" s="2" t="s">
        <v>21</v>
      </c>
    </row>
    <row r="17" spans="1:5" x14ac:dyDescent="0.25">
      <c r="A17">
        <v>15</v>
      </c>
      <c r="B17" s="3" t="s">
        <v>78</v>
      </c>
      <c r="C17" s="2">
        <v>10</v>
      </c>
      <c r="D17" s="2">
        <v>79</v>
      </c>
      <c r="E17" s="2" t="s">
        <v>21</v>
      </c>
    </row>
    <row r="18" spans="1:5" x14ac:dyDescent="0.25">
      <c r="A18">
        <v>16</v>
      </c>
      <c r="B18" s="3" t="s">
        <v>47</v>
      </c>
      <c r="C18" s="2">
        <v>8</v>
      </c>
      <c r="D18" s="2">
        <v>78</v>
      </c>
      <c r="E18" s="2" t="s">
        <v>23</v>
      </c>
    </row>
    <row r="19" spans="1:5" x14ac:dyDescent="0.25">
      <c r="A19">
        <v>17</v>
      </c>
      <c r="B19" s="3" t="s">
        <v>49</v>
      </c>
      <c r="C19" s="2">
        <v>10</v>
      </c>
      <c r="D19" s="2">
        <v>76</v>
      </c>
      <c r="E19" s="2" t="s">
        <v>23</v>
      </c>
    </row>
    <row r="20" spans="1:5" x14ac:dyDescent="0.25">
      <c r="A20">
        <v>18</v>
      </c>
      <c r="B20" t="s">
        <v>54</v>
      </c>
      <c r="C20" s="2">
        <v>9</v>
      </c>
      <c r="D20" s="2">
        <v>76</v>
      </c>
      <c r="E20" s="2" t="s">
        <v>23</v>
      </c>
    </row>
    <row r="21" spans="1:5" x14ac:dyDescent="0.25">
      <c r="A21">
        <v>19</v>
      </c>
      <c r="B21" t="s">
        <v>56</v>
      </c>
      <c r="C21" s="2">
        <v>10</v>
      </c>
      <c r="D21" s="2">
        <v>76</v>
      </c>
      <c r="E21" s="2" t="s">
        <v>23</v>
      </c>
    </row>
    <row r="22" spans="1:5" x14ac:dyDescent="0.25">
      <c r="A22">
        <v>20</v>
      </c>
      <c r="B22" t="s">
        <v>80</v>
      </c>
      <c r="C22" s="2">
        <v>9</v>
      </c>
      <c r="D22" s="2">
        <v>76</v>
      </c>
      <c r="E22" s="2" t="s">
        <v>21</v>
      </c>
    </row>
    <row r="23" spans="1:5" x14ac:dyDescent="0.25">
      <c r="A23">
        <v>21</v>
      </c>
      <c r="B23" t="s">
        <v>83</v>
      </c>
      <c r="C23" s="2">
        <v>10</v>
      </c>
      <c r="D23" s="2">
        <v>75</v>
      </c>
      <c r="E23" s="2" t="s">
        <v>21</v>
      </c>
    </row>
    <row r="24" spans="1:5" x14ac:dyDescent="0.25">
      <c r="A24">
        <v>22</v>
      </c>
      <c r="B24" t="s">
        <v>82</v>
      </c>
      <c r="C24" s="2">
        <v>9</v>
      </c>
      <c r="D24" s="2">
        <v>71</v>
      </c>
      <c r="E24" s="2" t="s">
        <v>21</v>
      </c>
    </row>
    <row r="25" spans="1:5" x14ac:dyDescent="0.25">
      <c r="A25">
        <v>23</v>
      </c>
      <c r="B25" t="s">
        <v>38</v>
      </c>
      <c r="C25" s="2">
        <v>9</v>
      </c>
      <c r="D25" s="2">
        <v>68</v>
      </c>
      <c r="E25" s="2" t="s">
        <v>23</v>
      </c>
    </row>
    <row r="26" spans="1:5" x14ac:dyDescent="0.25">
      <c r="A26">
        <v>24</v>
      </c>
      <c r="B26" t="s">
        <v>84</v>
      </c>
      <c r="C26" s="2">
        <v>7</v>
      </c>
      <c r="D26" s="2">
        <v>62</v>
      </c>
      <c r="E26" s="2" t="s">
        <v>21</v>
      </c>
    </row>
    <row r="27" spans="1:5" x14ac:dyDescent="0.25">
      <c r="A27">
        <v>25</v>
      </c>
      <c r="B27" t="s">
        <v>43</v>
      </c>
      <c r="C27" s="2">
        <v>9</v>
      </c>
      <c r="D27" s="2">
        <v>61</v>
      </c>
      <c r="E27" s="2" t="s">
        <v>23</v>
      </c>
    </row>
    <row r="28" spans="1:5" x14ac:dyDescent="0.25">
      <c r="A28">
        <v>26</v>
      </c>
      <c r="B28" t="s">
        <v>85</v>
      </c>
      <c r="C28" s="2">
        <v>0</v>
      </c>
      <c r="D28" s="2">
        <v>0</v>
      </c>
      <c r="E28" s="2" t="s">
        <v>24</v>
      </c>
    </row>
  </sheetData>
  <mergeCells count="3">
    <mergeCell ref="C1:D1"/>
    <mergeCell ref="G2:I2"/>
    <mergeCell ref="A1:B1"/>
  </mergeCells>
  <conditionalFormatting sqref="F1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{E614B72F-0E5D-4F81-A87A-8BE07D545A95}</x14:id>
        </ext>
      </extLst>
    </cfRule>
  </conditionalFormatting>
  <conditionalFormatting sqref="E3:E23">
    <cfRule type="expression" dxfId="2" priority="3">
      <formula>$E3 = "▬"</formula>
    </cfRule>
  </conditionalFormatting>
  <conditionalFormatting sqref="E3:E23">
    <cfRule type="expression" dxfId="1" priority="1">
      <formula>$E3 = "▼"</formula>
    </cfRule>
    <cfRule type="expression" dxfId="0" priority="2">
      <formula>$E3 = "▲"</formula>
    </cfRule>
  </conditionalFormatting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614B72F-0E5D-4F81-A87A-8BE07D545A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28"/>
  <sheetViews>
    <sheetView workbookViewId="0">
      <selection activeCell="D3" sqref="D3"/>
    </sheetView>
  </sheetViews>
  <sheetFormatPr defaultRowHeight="15" x14ac:dyDescent="0.25"/>
  <cols>
    <col min="1" max="1" width="8.7109375" customWidth="1"/>
    <col min="2" max="2" width="43.7109375" bestFit="1" customWidth="1"/>
  </cols>
  <sheetData>
    <row r="1" spans="1:5" x14ac:dyDescent="0.25">
      <c r="A1" s="24" t="s">
        <v>17</v>
      </c>
      <c r="B1" s="25"/>
      <c r="C1" s="18" t="s">
        <v>14</v>
      </c>
      <c r="D1" s="18"/>
      <c r="E1" s="9"/>
    </row>
    <row r="2" spans="1:5" x14ac:dyDescent="0.25">
      <c r="A2" s="1" t="s">
        <v>25</v>
      </c>
      <c r="B2" s="1" t="s">
        <v>1</v>
      </c>
      <c r="C2" s="9" t="s">
        <v>2</v>
      </c>
      <c r="D2" s="9" t="s">
        <v>15</v>
      </c>
      <c r="E2" s="9" t="s">
        <v>20</v>
      </c>
    </row>
    <row r="3" spans="1:5" x14ac:dyDescent="0.25">
      <c r="A3">
        <v>1</v>
      </c>
      <c r="B3" t="s">
        <v>60</v>
      </c>
      <c r="C3">
        <v>26</v>
      </c>
      <c r="D3">
        <v>139</v>
      </c>
      <c r="E3" t="s">
        <v>23</v>
      </c>
    </row>
    <row r="4" spans="1:5" x14ac:dyDescent="0.25">
      <c r="A4">
        <v>2</v>
      </c>
      <c r="B4" t="s">
        <v>61</v>
      </c>
      <c r="C4">
        <v>26</v>
      </c>
      <c r="D4">
        <v>139</v>
      </c>
      <c r="E4" t="s">
        <v>23</v>
      </c>
    </row>
    <row r="5" spans="1:5" x14ac:dyDescent="0.25">
      <c r="A5">
        <v>3</v>
      </c>
      <c r="B5" t="s">
        <v>62</v>
      </c>
      <c r="C5">
        <v>22</v>
      </c>
      <c r="D5">
        <v>136</v>
      </c>
      <c r="E5" t="s">
        <v>23</v>
      </c>
    </row>
    <row r="6" spans="1:5" x14ac:dyDescent="0.25">
      <c r="A6">
        <v>4</v>
      </c>
      <c r="B6" t="s">
        <v>63</v>
      </c>
      <c r="C6">
        <v>22</v>
      </c>
      <c r="D6">
        <v>136</v>
      </c>
      <c r="E6" t="s">
        <v>23</v>
      </c>
    </row>
    <row r="7" spans="1:5" x14ac:dyDescent="0.25">
      <c r="A7">
        <v>5</v>
      </c>
      <c r="B7" t="s">
        <v>64</v>
      </c>
      <c r="C7">
        <v>25</v>
      </c>
      <c r="D7">
        <v>131</v>
      </c>
      <c r="E7" t="s">
        <v>23</v>
      </c>
    </row>
    <row r="8" spans="1:5" x14ac:dyDescent="0.25">
      <c r="A8">
        <v>6</v>
      </c>
      <c r="B8" t="s">
        <v>65</v>
      </c>
      <c r="C8">
        <v>22</v>
      </c>
      <c r="D8">
        <v>131</v>
      </c>
      <c r="E8" t="s">
        <v>23</v>
      </c>
    </row>
    <row r="9" spans="1:5" x14ac:dyDescent="0.25">
      <c r="A9">
        <v>7</v>
      </c>
      <c r="B9" t="s">
        <v>66</v>
      </c>
      <c r="C9">
        <v>22</v>
      </c>
      <c r="D9">
        <v>130</v>
      </c>
      <c r="E9" t="s">
        <v>23</v>
      </c>
    </row>
    <row r="10" spans="1:5" x14ac:dyDescent="0.25">
      <c r="A10">
        <v>8</v>
      </c>
      <c r="B10" t="s">
        <v>67</v>
      </c>
      <c r="C10">
        <v>24</v>
      </c>
      <c r="D10">
        <v>128</v>
      </c>
      <c r="E10" t="s">
        <v>23</v>
      </c>
    </row>
    <row r="11" spans="1:5" x14ac:dyDescent="0.25">
      <c r="A11">
        <v>9</v>
      </c>
      <c r="B11" t="s">
        <v>68</v>
      </c>
      <c r="C11">
        <v>23</v>
      </c>
      <c r="D11">
        <v>128</v>
      </c>
      <c r="E11" t="s">
        <v>23</v>
      </c>
    </row>
    <row r="12" spans="1:5" x14ac:dyDescent="0.25">
      <c r="A12">
        <v>10</v>
      </c>
      <c r="B12" t="s">
        <v>69</v>
      </c>
      <c r="C12">
        <v>26</v>
      </c>
      <c r="D12">
        <v>126</v>
      </c>
      <c r="E12" t="s">
        <v>23</v>
      </c>
    </row>
    <row r="13" spans="1:5" x14ac:dyDescent="0.25">
      <c r="A13">
        <v>11</v>
      </c>
      <c r="B13" t="s">
        <v>70</v>
      </c>
      <c r="C13">
        <v>24</v>
      </c>
      <c r="D13">
        <v>126</v>
      </c>
      <c r="E13" t="s">
        <v>23</v>
      </c>
    </row>
    <row r="14" spans="1:5" x14ac:dyDescent="0.25">
      <c r="A14">
        <v>12</v>
      </c>
      <c r="B14" t="s">
        <v>71</v>
      </c>
      <c r="C14">
        <v>23</v>
      </c>
      <c r="D14">
        <v>124</v>
      </c>
      <c r="E14" t="s">
        <v>23</v>
      </c>
    </row>
    <row r="15" spans="1:5" x14ac:dyDescent="0.25">
      <c r="A15">
        <v>13</v>
      </c>
      <c r="B15" t="s">
        <v>72</v>
      </c>
      <c r="C15">
        <v>22</v>
      </c>
      <c r="D15">
        <v>122</v>
      </c>
      <c r="E15" t="s">
        <v>23</v>
      </c>
    </row>
    <row r="16" spans="1:5" x14ac:dyDescent="0.25">
      <c r="A16">
        <v>14</v>
      </c>
      <c r="B16" t="s">
        <v>73</v>
      </c>
      <c r="C16">
        <v>18</v>
      </c>
      <c r="D16">
        <v>119</v>
      </c>
      <c r="E16" t="s">
        <v>23</v>
      </c>
    </row>
    <row r="17" spans="1:5" x14ac:dyDescent="0.25">
      <c r="A17">
        <v>15</v>
      </c>
      <c r="B17" t="s">
        <v>74</v>
      </c>
      <c r="C17">
        <v>18</v>
      </c>
      <c r="D17">
        <v>118</v>
      </c>
      <c r="E17" t="s">
        <v>23</v>
      </c>
    </row>
    <row r="18" spans="1:5" x14ac:dyDescent="0.25">
      <c r="A18">
        <v>16</v>
      </c>
      <c r="B18" t="s">
        <v>75</v>
      </c>
      <c r="C18">
        <v>16</v>
      </c>
      <c r="D18">
        <v>116</v>
      </c>
      <c r="E18" t="s">
        <v>23</v>
      </c>
    </row>
    <row r="19" spans="1:5" x14ac:dyDescent="0.25">
      <c r="A19">
        <v>17</v>
      </c>
      <c r="B19" t="s">
        <v>76</v>
      </c>
      <c r="C19">
        <v>16</v>
      </c>
      <c r="D19">
        <v>116</v>
      </c>
      <c r="E19" t="s">
        <v>23</v>
      </c>
    </row>
    <row r="20" spans="1:5" x14ac:dyDescent="0.25">
      <c r="A20">
        <v>18</v>
      </c>
      <c r="B20" t="s">
        <v>77</v>
      </c>
      <c r="C20">
        <v>18</v>
      </c>
      <c r="D20">
        <v>114</v>
      </c>
      <c r="E20" t="s">
        <v>23</v>
      </c>
    </row>
    <row r="21" spans="1:5" x14ac:dyDescent="0.25">
      <c r="A21">
        <v>19</v>
      </c>
      <c r="B21" t="s">
        <v>78</v>
      </c>
      <c r="C21">
        <v>16</v>
      </c>
      <c r="D21">
        <v>109</v>
      </c>
      <c r="E21" t="s">
        <v>23</v>
      </c>
    </row>
    <row r="22" spans="1:5" x14ac:dyDescent="0.25">
      <c r="A22">
        <v>20</v>
      </c>
      <c r="B22" t="s">
        <v>79</v>
      </c>
      <c r="C22">
        <v>19</v>
      </c>
      <c r="D22">
        <v>107</v>
      </c>
      <c r="E22" t="s">
        <v>23</v>
      </c>
    </row>
    <row r="23" spans="1:5" x14ac:dyDescent="0.25">
      <c r="A23">
        <v>21</v>
      </c>
      <c r="B23" t="s">
        <v>80</v>
      </c>
      <c r="C23">
        <v>17</v>
      </c>
      <c r="D23">
        <v>104</v>
      </c>
      <c r="E23" t="s">
        <v>23</v>
      </c>
    </row>
    <row r="24" spans="1:5" x14ac:dyDescent="0.25">
      <c r="A24">
        <v>22</v>
      </c>
      <c r="B24" t="s">
        <v>81</v>
      </c>
      <c r="C24">
        <v>20</v>
      </c>
      <c r="D24">
        <v>102</v>
      </c>
      <c r="E24" t="s">
        <v>23</v>
      </c>
    </row>
    <row r="25" spans="1:5" x14ac:dyDescent="0.25">
      <c r="A25">
        <v>23</v>
      </c>
      <c r="B25" t="s">
        <v>82</v>
      </c>
      <c r="C25">
        <v>18</v>
      </c>
      <c r="D25">
        <v>102</v>
      </c>
      <c r="E25" t="s">
        <v>23</v>
      </c>
    </row>
    <row r="26" spans="1:5" x14ac:dyDescent="0.25">
      <c r="A26">
        <v>24</v>
      </c>
      <c r="B26" t="s">
        <v>83</v>
      </c>
      <c r="C26">
        <v>13</v>
      </c>
      <c r="D26">
        <v>100</v>
      </c>
      <c r="E26" t="s">
        <v>23</v>
      </c>
    </row>
    <row r="27" spans="1:5" x14ac:dyDescent="0.25">
      <c r="A27">
        <v>25</v>
      </c>
      <c r="B27" t="s">
        <v>84</v>
      </c>
      <c r="C27">
        <v>11</v>
      </c>
      <c r="D27">
        <v>83</v>
      </c>
      <c r="E27" t="s">
        <v>23</v>
      </c>
    </row>
    <row r="28" spans="1:5" x14ac:dyDescent="0.25">
      <c r="A28">
        <v>26</v>
      </c>
      <c r="B28" t="s">
        <v>85</v>
      </c>
      <c r="C28">
        <v>0</v>
      </c>
      <c r="D28">
        <v>0</v>
      </c>
      <c r="E28" t="s">
        <v>23</v>
      </c>
    </row>
  </sheetData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1</vt:i4>
      </vt:variant>
    </vt:vector>
  </HeadingPairs>
  <TitlesOfParts>
    <vt:vector size="6" baseType="lpstr">
      <vt:lpstr>Teams</vt:lpstr>
      <vt:lpstr>Score</vt:lpstr>
      <vt:lpstr>Acties</vt:lpstr>
      <vt:lpstr>Puntenstand</vt:lpstr>
      <vt:lpstr>Vorige Puntenstand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Kristof Van Hees</dc:creator>
  <cp:lastModifiedBy>Kristof Van Hees</cp:lastModifiedBy>
  <dcterms:created xsi:type="dcterms:W3CDTF">2014-11-05T20:57:31Z</dcterms:created>
  <dcterms:modified xsi:type="dcterms:W3CDTF">2019-06-20T19:06:54Z</dcterms:modified>
</cp:coreProperties>
</file>